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_Temp\_projet_zaradit\_DB_PHP\"/>
    </mc:Choice>
  </mc:AlternateContent>
  <bookViews>
    <workbookView xWindow="0" yWindow="0" windowWidth="18840" windowHeight="6255" activeTab="1"/>
  </bookViews>
  <sheets>
    <sheet name="lektori" sheetId="1" r:id="rId1"/>
    <sheet name="mista" sheetId="5" r:id="rId2"/>
    <sheet name="obory" sheetId="3" r:id="rId3"/>
    <sheet name="lekce" sheetId="4" r:id="rId4"/>
    <sheet name="login" sheetId="2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4" l="1"/>
  <c r="D3" i="4"/>
  <c r="E4" i="4"/>
  <c r="D4" i="4"/>
</calcChain>
</file>

<file path=xl/sharedStrings.xml><?xml version="1.0" encoding="utf-8"?>
<sst xmlns="http://schemas.openxmlformats.org/spreadsheetml/2006/main" count="197" uniqueCount="117">
  <si>
    <t>ID</t>
  </si>
  <si>
    <t>ZKR</t>
  </si>
  <si>
    <t>JMENO</t>
  </si>
  <si>
    <t>PRIJM</t>
  </si>
  <si>
    <t>OBORY</t>
  </si>
  <si>
    <t>MISTA</t>
  </si>
  <si>
    <t>RANK</t>
  </si>
  <si>
    <t>FOTO</t>
  </si>
  <si>
    <t>POPIS</t>
  </si>
  <si>
    <t>REG</t>
  </si>
  <si>
    <t>USR</t>
  </si>
  <si>
    <t>PWD</t>
  </si>
  <si>
    <t>HASH</t>
  </si>
  <si>
    <t>ROLE</t>
  </si>
  <si>
    <t>OBOR</t>
  </si>
  <si>
    <t>NAZEV</t>
  </si>
  <si>
    <t>UROVEN</t>
  </si>
  <si>
    <t>CAS_OD</t>
  </si>
  <si>
    <t>CAS_DO</t>
  </si>
  <si>
    <t>FINAL</t>
  </si>
  <si>
    <t>TYP</t>
  </si>
  <si>
    <t>Jakub</t>
  </si>
  <si>
    <t>Vajda</t>
  </si>
  <si>
    <t>Kamila</t>
  </si>
  <si>
    <t>Varcholáková</t>
  </si>
  <si>
    <t>mat1</t>
  </si>
  <si>
    <t>mat2</t>
  </si>
  <si>
    <t>mat3</t>
  </si>
  <si>
    <t>che_1</t>
  </si>
  <si>
    <t>che_2</t>
  </si>
  <si>
    <t>che_3</t>
  </si>
  <si>
    <t>Chemie - základy</t>
  </si>
  <si>
    <t>začátečník</t>
  </si>
  <si>
    <t>pokročilý</t>
  </si>
  <si>
    <t>master</t>
  </si>
  <si>
    <t>Chemie - maturita</t>
  </si>
  <si>
    <t>Chemie - aplikace</t>
  </si>
  <si>
    <t>Matematika</t>
  </si>
  <si>
    <t>eng_1</t>
  </si>
  <si>
    <t>eng_2</t>
  </si>
  <si>
    <t>eng_3</t>
  </si>
  <si>
    <t>eng_4</t>
  </si>
  <si>
    <t>eng_5</t>
  </si>
  <si>
    <t>eng_6</t>
  </si>
  <si>
    <t>Angličtina</t>
  </si>
  <si>
    <t>Elementary</t>
  </si>
  <si>
    <t>Intermediate</t>
  </si>
  <si>
    <t>Pre-Intermediate</t>
  </si>
  <si>
    <t>Advanced</t>
  </si>
  <si>
    <t>Basic</t>
  </si>
  <si>
    <t>VARCHAR(25) NOT NULL</t>
  </si>
  <si>
    <t>che, mat</t>
  </si>
  <si>
    <t>eng</t>
  </si>
  <si>
    <t>VARCHAR(50) NOT NULL</t>
  </si>
  <si>
    <t>VARCHAR(255) NOT NULL</t>
  </si>
  <si>
    <t>INT</t>
  </si>
  <si>
    <t>VARCHAR(50)</t>
  </si>
  <si>
    <t>kubow</t>
  </si>
  <si>
    <t>DIPL</t>
  </si>
  <si>
    <t>VARCHAR(255)</t>
  </si>
  <si>
    <t>DATETIME NOT NULL</t>
  </si>
  <si>
    <t>kami_v</t>
  </si>
  <si>
    <t>pha</t>
  </si>
  <si>
    <t>VARCHAR(100) NOT NULL</t>
  </si>
  <si>
    <t>VARCHAR(10) NOT NULL</t>
  </si>
  <si>
    <t>CHAR(1) NOT NULL</t>
  </si>
  <si>
    <t>pha6</t>
  </si>
  <si>
    <t>DOJEZD</t>
  </si>
  <si>
    <t>DOMA</t>
  </si>
  <si>
    <t>INT NOT NULL AUTO_INCREMENT</t>
  </si>
  <si>
    <t>VARCHAR(80) NOT NULL</t>
  </si>
  <si>
    <t>md5</t>
  </si>
  <si>
    <t>admin</t>
  </si>
  <si>
    <t>user</t>
  </si>
  <si>
    <t>kama</t>
  </si>
  <si>
    <t>KATEGORIE</t>
  </si>
  <si>
    <t>výuka jazyků</t>
  </si>
  <si>
    <t>Matematika - VŠ</t>
  </si>
  <si>
    <t>hkl_1</t>
  </si>
  <si>
    <t>Hra na klavír</t>
  </si>
  <si>
    <t>MS Office</t>
  </si>
  <si>
    <t>pc_off_1</t>
  </si>
  <si>
    <t>pc_off_2</t>
  </si>
  <si>
    <t>pc_off_3</t>
  </si>
  <si>
    <t>kr_1</t>
  </si>
  <si>
    <t>Kreslení</t>
  </si>
  <si>
    <t>pc_net_1</t>
  </si>
  <si>
    <t>pc_net_2</t>
  </si>
  <si>
    <t>HTML, CSS, stadardy</t>
  </si>
  <si>
    <t>Síťování, LAN, WIFI, 3G…</t>
  </si>
  <si>
    <t>pc_net_3</t>
  </si>
  <si>
    <t>WebDevelopement</t>
  </si>
  <si>
    <t>pc_java</t>
  </si>
  <si>
    <t>JAVA programování</t>
  </si>
  <si>
    <t>pc_php</t>
  </si>
  <si>
    <t>PHP MySQL programování</t>
  </si>
  <si>
    <t>lekce</t>
  </si>
  <si>
    <t>pc_py</t>
  </si>
  <si>
    <t>Python programování</t>
  </si>
  <si>
    <t>KOD</t>
  </si>
  <si>
    <t>VARCHAR(5) NOT NULL</t>
  </si>
  <si>
    <t>Praha celá</t>
  </si>
  <si>
    <t>pha_1</t>
  </si>
  <si>
    <t>pha_2</t>
  </si>
  <si>
    <t>pha_3</t>
  </si>
  <si>
    <t>pha_4</t>
  </si>
  <si>
    <t>pha_5</t>
  </si>
  <si>
    <t>ostatní</t>
  </si>
  <si>
    <t>pha6, zlin</t>
  </si>
  <si>
    <t>X</t>
  </si>
  <si>
    <t>Y</t>
  </si>
  <si>
    <t>INT NOT NULL</t>
  </si>
  <si>
    <t>pha_61</t>
  </si>
  <si>
    <t>pha_62</t>
  </si>
  <si>
    <t>Dejvice</t>
  </si>
  <si>
    <t>Bubeneč</t>
  </si>
  <si>
    <t>Nové město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</si>
</sst>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"/>
  <sheetViews>
    <sheetView workbookViewId="0">
      <selection activeCell="I4" sqref="I4"/>
    </sheetView>
  </sheetViews>
  <sheetFormatPr defaultRowHeight="15" x14ac:dyDescent="0.25"/>
  <cols>
    <col min="4" max="4" width="13.140625" customWidth="1"/>
    <col min="7" max="7" width="8" customWidth="1"/>
    <col min="8" max="8" width="8.28515625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68</v>
      </c>
      <c r="H1" t="s">
        <v>67</v>
      </c>
      <c r="I1" t="s">
        <v>6</v>
      </c>
      <c r="J1" t="s">
        <v>7</v>
      </c>
      <c r="K1" t="s">
        <v>8</v>
      </c>
      <c r="L1" t="s">
        <v>58</v>
      </c>
      <c r="M1" t="s">
        <v>9</v>
      </c>
    </row>
    <row r="2" spans="1:13" s="1" customFormat="1" x14ac:dyDescent="0.25">
      <c r="A2" s="1" t="s">
        <v>69</v>
      </c>
      <c r="B2" s="1" t="s">
        <v>50</v>
      </c>
      <c r="C2" s="1" t="s">
        <v>50</v>
      </c>
      <c r="D2" s="1" t="s">
        <v>53</v>
      </c>
      <c r="E2" s="1" t="s">
        <v>54</v>
      </c>
      <c r="F2" s="1" t="s">
        <v>54</v>
      </c>
      <c r="G2" s="1" t="s">
        <v>65</v>
      </c>
      <c r="H2" s="1" t="s">
        <v>65</v>
      </c>
      <c r="I2" s="1" t="s">
        <v>55</v>
      </c>
      <c r="J2" s="1" t="s">
        <v>56</v>
      </c>
      <c r="K2" s="1" t="s">
        <v>59</v>
      </c>
      <c r="L2" s="1" t="s">
        <v>59</v>
      </c>
      <c r="M2" s="1" t="s">
        <v>60</v>
      </c>
    </row>
    <row r="3" spans="1:13" x14ac:dyDescent="0.25">
      <c r="A3">
        <v>1</v>
      </c>
      <c r="B3" t="s">
        <v>57</v>
      </c>
      <c r="C3" t="s">
        <v>21</v>
      </c>
      <c r="D3" t="s">
        <v>22</v>
      </c>
      <c r="E3" t="s">
        <v>51</v>
      </c>
      <c r="F3" t="s">
        <v>108</v>
      </c>
      <c r="G3">
        <v>0</v>
      </c>
      <c r="H3">
        <v>1</v>
      </c>
      <c r="I3">
        <v>0</v>
      </c>
      <c r="M3" s="2">
        <v>42006</v>
      </c>
    </row>
    <row r="4" spans="1:13" x14ac:dyDescent="0.25">
      <c r="A4">
        <v>2</v>
      </c>
      <c r="B4" t="s">
        <v>61</v>
      </c>
      <c r="C4" t="s">
        <v>23</v>
      </c>
      <c r="D4" t="s">
        <v>24</v>
      </c>
      <c r="E4" t="s">
        <v>52</v>
      </c>
      <c r="F4" t="s">
        <v>66</v>
      </c>
      <c r="G4">
        <v>1</v>
      </c>
      <c r="H4">
        <v>0</v>
      </c>
      <c r="I4">
        <v>999</v>
      </c>
      <c r="M4" s="2">
        <v>42010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F10"/>
  <sheetViews>
    <sheetView tabSelected="1" workbookViewId="0">
      <selection activeCell="B3" sqref="B3"/>
    </sheetView>
  </sheetViews>
  <sheetFormatPr defaultRowHeight="15" x14ac:dyDescent="0.25"/>
  <sheetData>
    <row r="1" spans="1:6" x14ac:dyDescent="0.25">
      <c r="A1" t="s">
        <v>0</v>
      </c>
      <c r="B1" t="s">
        <v>99</v>
      </c>
      <c r="C1" t="s">
        <v>15</v>
      </c>
      <c r="D1" t="s">
        <v>8</v>
      </c>
      <c r="E1" t="s">
        <v>109</v>
      </c>
      <c r="F1" t="s">
        <v>110</v>
      </c>
    </row>
    <row r="2" spans="1:6" x14ac:dyDescent="0.25">
      <c r="A2" s="1" t="s">
        <v>69</v>
      </c>
      <c r="B2" s="1" t="s">
        <v>100</v>
      </c>
      <c r="C2" s="1" t="s">
        <v>63</v>
      </c>
      <c r="D2" s="1" t="s">
        <v>54</v>
      </c>
      <c r="E2" s="1" t="s">
        <v>111</v>
      </c>
      <c r="F2" s="1" t="s">
        <v>111</v>
      </c>
    </row>
    <row r="3" spans="1:6" x14ac:dyDescent="0.25">
      <c r="A3">
        <v>1</v>
      </c>
      <c r="B3" t="s">
        <v>62</v>
      </c>
      <c r="C3" t="s">
        <v>101</v>
      </c>
    </row>
    <row r="4" spans="1:6" x14ac:dyDescent="0.25">
      <c r="A4">
        <v>2</v>
      </c>
      <c r="B4" t="s">
        <v>102</v>
      </c>
      <c r="C4" t="s">
        <v>116</v>
      </c>
    </row>
    <row r="5" spans="1:6" x14ac:dyDescent="0.25">
      <c r="A5">
        <v>3</v>
      </c>
      <c r="B5" t="s">
        <v>103</v>
      </c>
    </row>
    <row r="6" spans="1:6" x14ac:dyDescent="0.25">
      <c r="A6">
        <v>4</v>
      </c>
      <c r="B6" t="s">
        <v>104</v>
      </c>
    </row>
    <row r="7" spans="1:6" x14ac:dyDescent="0.25">
      <c r="A7">
        <v>5</v>
      </c>
      <c r="B7" t="s">
        <v>105</v>
      </c>
    </row>
    <row r="8" spans="1:6" x14ac:dyDescent="0.25">
      <c r="A8">
        <v>6</v>
      </c>
      <c r="B8" t="s">
        <v>106</v>
      </c>
    </row>
    <row r="9" spans="1:6" x14ac:dyDescent="0.25">
      <c r="A9">
        <v>7</v>
      </c>
      <c r="B9" t="s">
        <v>112</v>
      </c>
      <c r="C9" t="s">
        <v>114</v>
      </c>
    </row>
    <row r="10" spans="1:6" x14ac:dyDescent="0.25">
      <c r="B10" t="s">
        <v>113</v>
      </c>
      <c r="C10" t="s">
        <v>115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F25"/>
  <sheetViews>
    <sheetView workbookViewId="0">
      <selection activeCell="B4" sqref="B4:B17"/>
    </sheetView>
  </sheetViews>
  <sheetFormatPr defaultRowHeight="15" x14ac:dyDescent="0.25"/>
  <cols>
    <col min="3" max="3" width="24.140625" customWidth="1"/>
    <col min="4" max="4" width="20.42578125" customWidth="1"/>
    <col min="5" max="5" width="21.28515625" customWidth="1"/>
    <col min="6" max="6" width="12.85546875" customWidth="1"/>
  </cols>
  <sheetData>
    <row r="1" spans="1:6" x14ac:dyDescent="0.25">
      <c r="A1" t="s">
        <v>0</v>
      </c>
      <c r="B1" t="s">
        <v>14</v>
      </c>
      <c r="C1" t="s">
        <v>15</v>
      </c>
      <c r="D1" t="s">
        <v>16</v>
      </c>
      <c r="E1" t="s">
        <v>75</v>
      </c>
      <c r="F1" t="s">
        <v>8</v>
      </c>
    </row>
    <row r="2" spans="1:6" s="1" customFormat="1" x14ac:dyDescent="0.25">
      <c r="A2" s="1" t="s">
        <v>69</v>
      </c>
      <c r="B2" s="1" t="s">
        <v>50</v>
      </c>
      <c r="C2" s="1" t="s">
        <v>63</v>
      </c>
      <c r="D2" s="1" t="s">
        <v>63</v>
      </c>
      <c r="E2" s="1" t="s">
        <v>56</v>
      </c>
      <c r="F2" s="1" t="s">
        <v>59</v>
      </c>
    </row>
    <row r="3" spans="1:6" x14ac:dyDescent="0.25">
      <c r="A3">
        <v>1</v>
      </c>
      <c r="B3" t="s">
        <v>38</v>
      </c>
      <c r="C3" t="s">
        <v>44</v>
      </c>
      <c r="D3" t="s">
        <v>49</v>
      </c>
      <c r="E3" t="s">
        <v>76</v>
      </c>
    </row>
    <row r="4" spans="1:6" x14ac:dyDescent="0.25">
      <c r="A4">
        <v>2</v>
      </c>
      <c r="B4" t="s">
        <v>39</v>
      </c>
      <c r="C4" t="s">
        <v>44</v>
      </c>
      <c r="D4" t="s">
        <v>45</v>
      </c>
      <c r="E4" t="s">
        <v>76</v>
      </c>
    </row>
    <row r="5" spans="1:6" x14ac:dyDescent="0.25">
      <c r="A5">
        <v>3</v>
      </c>
      <c r="B5" t="s">
        <v>40</v>
      </c>
      <c r="C5" t="s">
        <v>44</v>
      </c>
      <c r="D5" t="s">
        <v>47</v>
      </c>
      <c r="E5" t="s">
        <v>76</v>
      </c>
    </row>
    <row r="6" spans="1:6" x14ac:dyDescent="0.25">
      <c r="A6">
        <v>4</v>
      </c>
      <c r="B6" t="s">
        <v>41</v>
      </c>
      <c r="C6" t="s">
        <v>44</v>
      </c>
      <c r="D6" t="s">
        <v>46</v>
      </c>
      <c r="E6" t="s">
        <v>76</v>
      </c>
    </row>
    <row r="7" spans="1:6" x14ac:dyDescent="0.25">
      <c r="A7">
        <v>5</v>
      </c>
      <c r="B7" t="s">
        <v>42</v>
      </c>
      <c r="C7" t="s">
        <v>44</v>
      </c>
      <c r="D7" t="s">
        <v>48</v>
      </c>
      <c r="E7" t="s">
        <v>76</v>
      </c>
    </row>
    <row r="8" spans="1:6" x14ac:dyDescent="0.25">
      <c r="A8">
        <v>6</v>
      </c>
      <c r="B8" t="s">
        <v>43</v>
      </c>
      <c r="C8" t="s">
        <v>44</v>
      </c>
      <c r="D8" t="s">
        <v>34</v>
      </c>
      <c r="E8" t="s">
        <v>76</v>
      </c>
    </row>
    <row r="9" spans="1:6" x14ac:dyDescent="0.25">
      <c r="A9">
        <v>7</v>
      </c>
      <c r="B9" t="s">
        <v>28</v>
      </c>
      <c r="C9" t="s">
        <v>31</v>
      </c>
      <c r="D9" t="s">
        <v>32</v>
      </c>
      <c r="E9" t="s">
        <v>107</v>
      </c>
    </row>
    <row r="10" spans="1:6" x14ac:dyDescent="0.25">
      <c r="A10">
        <v>8</v>
      </c>
      <c r="B10" t="s">
        <v>29</v>
      </c>
      <c r="C10" t="s">
        <v>35</v>
      </c>
      <c r="D10" t="s">
        <v>33</v>
      </c>
      <c r="E10" t="s">
        <v>107</v>
      </c>
    </row>
    <row r="11" spans="1:6" x14ac:dyDescent="0.25">
      <c r="A11">
        <v>9</v>
      </c>
      <c r="B11" t="s">
        <v>30</v>
      </c>
      <c r="C11" t="s">
        <v>36</v>
      </c>
      <c r="D11" t="s">
        <v>34</v>
      </c>
      <c r="E11" t="s">
        <v>107</v>
      </c>
    </row>
    <row r="12" spans="1:6" x14ac:dyDescent="0.25">
      <c r="A12">
        <v>10</v>
      </c>
      <c r="B12" t="s">
        <v>25</v>
      </c>
      <c r="C12" t="s">
        <v>37</v>
      </c>
      <c r="D12" t="s">
        <v>32</v>
      </c>
      <c r="E12" t="s">
        <v>107</v>
      </c>
    </row>
    <row r="13" spans="1:6" x14ac:dyDescent="0.25">
      <c r="A13">
        <v>11</v>
      </c>
      <c r="B13" t="s">
        <v>26</v>
      </c>
      <c r="C13" t="s">
        <v>37</v>
      </c>
      <c r="D13" t="s">
        <v>33</v>
      </c>
      <c r="E13" t="s">
        <v>107</v>
      </c>
    </row>
    <row r="14" spans="1:6" x14ac:dyDescent="0.25">
      <c r="A14">
        <v>12</v>
      </c>
      <c r="B14" t="s">
        <v>27</v>
      </c>
      <c r="C14" t="s">
        <v>77</v>
      </c>
      <c r="D14" t="s">
        <v>34</v>
      </c>
      <c r="E14" t="s">
        <v>107</v>
      </c>
    </row>
    <row r="15" spans="1:6" x14ac:dyDescent="0.25">
      <c r="A15">
        <v>13</v>
      </c>
      <c r="B15" t="s">
        <v>81</v>
      </c>
      <c r="C15" t="s">
        <v>80</v>
      </c>
      <c r="D15" t="s">
        <v>32</v>
      </c>
      <c r="E15" t="s">
        <v>107</v>
      </c>
    </row>
    <row r="16" spans="1:6" x14ac:dyDescent="0.25">
      <c r="A16">
        <v>14</v>
      </c>
      <c r="B16" t="s">
        <v>82</v>
      </c>
      <c r="C16" t="s">
        <v>80</v>
      </c>
      <c r="D16" t="s">
        <v>33</v>
      </c>
      <c r="E16" t="s">
        <v>107</v>
      </c>
    </row>
    <row r="17" spans="1:5" x14ac:dyDescent="0.25">
      <c r="A17">
        <v>15</v>
      </c>
      <c r="B17" t="s">
        <v>83</v>
      </c>
      <c r="C17" t="s">
        <v>80</v>
      </c>
      <c r="D17" t="s">
        <v>34</v>
      </c>
      <c r="E17" t="s">
        <v>107</v>
      </c>
    </row>
    <row r="18" spans="1:5" x14ac:dyDescent="0.25">
      <c r="A18">
        <v>16</v>
      </c>
      <c r="B18" t="s">
        <v>86</v>
      </c>
      <c r="C18" t="s">
        <v>89</v>
      </c>
      <c r="E18" t="s">
        <v>107</v>
      </c>
    </row>
    <row r="19" spans="1:5" x14ac:dyDescent="0.25">
      <c r="A19">
        <v>17</v>
      </c>
      <c r="B19" t="s">
        <v>87</v>
      </c>
      <c r="C19" t="s">
        <v>88</v>
      </c>
      <c r="D19" t="s">
        <v>33</v>
      </c>
      <c r="E19" t="s">
        <v>107</v>
      </c>
    </row>
    <row r="20" spans="1:5" x14ac:dyDescent="0.25">
      <c r="A20">
        <v>18</v>
      </c>
      <c r="B20" t="s">
        <v>90</v>
      </c>
      <c r="C20" t="s">
        <v>91</v>
      </c>
      <c r="D20" t="s">
        <v>33</v>
      </c>
      <c r="E20" t="s">
        <v>107</v>
      </c>
    </row>
    <row r="21" spans="1:5" x14ac:dyDescent="0.25">
      <c r="A21">
        <v>19</v>
      </c>
      <c r="B21" t="s">
        <v>92</v>
      </c>
      <c r="C21" t="s">
        <v>93</v>
      </c>
      <c r="E21" t="s">
        <v>107</v>
      </c>
    </row>
    <row r="22" spans="1:5" x14ac:dyDescent="0.25">
      <c r="A22">
        <v>20</v>
      </c>
      <c r="B22" t="s">
        <v>94</v>
      </c>
      <c r="C22" t="s">
        <v>95</v>
      </c>
      <c r="E22" t="s">
        <v>107</v>
      </c>
    </row>
    <row r="23" spans="1:5" x14ac:dyDescent="0.25">
      <c r="A23">
        <v>21</v>
      </c>
      <c r="B23" t="s">
        <v>97</v>
      </c>
      <c r="C23" t="s">
        <v>98</v>
      </c>
      <c r="E23" t="s">
        <v>107</v>
      </c>
    </row>
    <row r="24" spans="1:5" x14ac:dyDescent="0.25">
      <c r="A24">
        <v>22</v>
      </c>
      <c r="B24" t="s">
        <v>78</v>
      </c>
      <c r="C24" t="s">
        <v>79</v>
      </c>
      <c r="D24" t="s">
        <v>32</v>
      </c>
      <c r="E24" t="s">
        <v>107</v>
      </c>
    </row>
    <row r="25" spans="1:5" x14ac:dyDescent="0.25">
      <c r="A25">
        <v>23</v>
      </c>
      <c r="B25" t="s">
        <v>84</v>
      </c>
      <c r="C25" t="s">
        <v>85</v>
      </c>
      <c r="E25" t="s">
        <v>107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"/>
  <sheetViews>
    <sheetView workbookViewId="0">
      <selection activeCell="F3" sqref="F3"/>
    </sheetView>
  </sheetViews>
  <sheetFormatPr defaultRowHeight="15" x14ac:dyDescent="0.25"/>
  <cols>
    <col min="4" max="4" width="14.28515625" customWidth="1"/>
    <col min="5" max="5" width="13.28515625" bestFit="1" customWidth="1"/>
  </cols>
  <sheetData>
    <row r="1" spans="1:7" x14ac:dyDescent="0.25">
      <c r="A1" t="s">
        <v>0</v>
      </c>
      <c r="B1" t="s">
        <v>1</v>
      </c>
      <c r="C1" t="s">
        <v>14</v>
      </c>
      <c r="D1" t="s">
        <v>17</v>
      </c>
      <c r="E1" t="s">
        <v>18</v>
      </c>
      <c r="F1" t="s">
        <v>19</v>
      </c>
      <c r="G1" t="s">
        <v>20</v>
      </c>
    </row>
    <row r="2" spans="1:7" s="1" customFormat="1" x14ac:dyDescent="0.25">
      <c r="A2" s="1" t="s">
        <v>69</v>
      </c>
      <c r="B2" s="1" t="s">
        <v>50</v>
      </c>
      <c r="C2" s="1" t="s">
        <v>64</v>
      </c>
      <c r="D2" s="1" t="s">
        <v>60</v>
      </c>
      <c r="E2" s="1" t="s">
        <v>60</v>
      </c>
      <c r="F2" s="1" t="s">
        <v>65</v>
      </c>
      <c r="G2" s="1" t="s">
        <v>50</v>
      </c>
    </row>
    <row r="3" spans="1:7" x14ac:dyDescent="0.25">
      <c r="A3">
        <v>1</v>
      </c>
      <c r="B3" t="s">
        <v>57</v>
      </c>
      <c r="C3" t="s">
        <v>94</v>
      </c>
      <c r="D3" s="3">
        <f ca="1">NOW()-1.05</f>
        <v>42008.929417824074</v>
      </c>
      <c r="E3" s="3">
        <f ca="1">NOW()-1</f>
        <v>42008.979417824077</v>
      </c>
      <c r="F3">
        <v>1</v>
      </c>
      <c r="G3" t="s">
        <v>96</v>
      </c>
    </row>
    <row r="4" spans="1:7" x14ac:dyDescent="0.25">
      <c r="A4">
        <v>2</v>
      </c>
      <c r="B4" t="s">
        <v>57</v>
      </c>
      <c r="C4" t="s">
        <v>94</v>
      </c>
      <c r="D4" s="3">
        <f ca="1">NOW()-0.05</f>
        <v>42009.929417824074</v>
      </c>
      <c r="E4" s="3">
        <f ca="1">NOW()</f>
        <v>42009.979417824077</v>
      </c>
      <c r="F4">
        <v>1</v>
      </c>
      <c r="G4" t="s">
        <v>96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"/>
  <sheetViews>
    <sheetView workbookViewId="0">
      <selection activeCell="C3" sqref="C3"/>
    </sheetView>
  </sheetViews>
  <sheetFormatPr defaultRowHeight="15" x14ac:dyDescent="0.25"/>
  <cols>
    <col min="3" max="3" width="16.85546875" customWidth="1"/>
  </cols>
  <sheetData>
    <row r="1" spans="1:5" x14ac:dyDescent="0.25">
      <c r="A1" t="s">
        <v>0</v>
      </c>
      <c r="B1" t="s">
        <v>10</v>
      </c>
      <c r="C1" t="s">
        <v>11</v>
      </c>
      <c r="D1" t="s">
        <v>12</v>
      </c>
      <c r="E1" t="s">
        <v>13</v>
      </c>
    </row>
    <row r="2" spans="1:5" s="1" customFormat="1" x14ac:dyDescent="0.25">
      <c r="A2" s="1" t="s">
        <v>69</v>
      </c>
      <c r="B2" s="1" t="s">
        <v>50</v>
      </c>
      <c r="C2" s="1" t="s">
        <v>70</v>
      </c>
      <c r="D2" s="1" t="s">
        <v>64</v>
      </c>
    </row>
    <row r="3" spans="1:5" x14ac:dyDescent="0.25">
      <c r="A3">
        <v>1</v>
      </c>
      <c r="B3" t="s">
        <v>57</v>
      </c>
      <c r="D3" t="s">
        <v>71</v>
      </c>
      <c r="E3" t="s">
        <v>72</v>
      </c>
    </row>
    <row r="4" spans="1:5" x14ac:dyDescent="0.25">
      <c r="A4">
        <v>2</v>
      </c>
      <c r="B4" t="s">
        <v>61</v>
      </c>
      <c r="D4" t="s">
        <v>71</v>
      </c>
      <c r="E4" t="s">
        <v>72</v>
      </c>
    </row>
    <row r="5" spans="1:5" x14ac:dyDescent="0.25">
      <c r="A5">
        <v>3</v>
      </c>
      <c r="B5" t="s">
        <v>74</v>
      </c>
      <c r="D5" t="s">
        <v>71</v>
      </c>
      <c r="E5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lektori</vt:lpstr>
      <vt:lpstr>mista</vt:lpstr>
      <vt:lpstr>obory</vt:lpstr>
      <vt:lpstr>lekce</vt:lpstr>
      <vt:lpstr>login</vt:lpstr>
    </vt:vector>
  </TitlesOfParts>
  <Company>DHI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Vajda</dc:creator>
  <cp:lastModifiedBy>Jakub Vajda</cp:lastModifiedBy>
  <dcterms:created xsi:type="dcterms:W3CDTF">2015-01-02T20:32:48Z</dcterms:created>
  <dcterms:modified xsi:type="dcterms:W3CDTF">2015-01-05T22:33:00Z</dcterms:modified>
</cp:coreProperties>
</file>